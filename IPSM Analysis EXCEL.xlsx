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aris\OneDrive\Desktop\"/>
    </mc:Choice>
  </mc:AlternateContent>
  <xr:revisionPtr revIDLastSave="0" documentId="13_ncr:1_{4104B06D-9DFE-4188-8293-FE4C894D4EC8}" xr6:coauthVersionLast="47" xr6:coauthVersionMax="47" xr10:uidLastSave="{00000000-0000-0000-0000-000000000000}"/>
  <bookViews>
    <workbookView xWindow="-98" yWindow="-98" windowWidth="21795" windowHeight="12975" firstSheet="2" activeTab="3" xr2:uid="{00000000-000D-0000-FFFF-FFFF00000000}"/>
  </bookViews>
  <sheets>
    <sheet name="Sheet1" sheetId="4" state="hidden" r:id="rId1"/>
    <sheet name="Requests per Department " sheetId="1" r:id="rId2"/>
    <sheet name="Departments_status" sheetId="6" r:id="rId3"/>
    <sheet name="Request per Service" sheetId="3" r:id="rId4"/>
    <sheet name="Resolved vs Pending" sheetId="2" r:id="rId5"/>
  </sheets>
  <calcPr calcId="125725"/>
  <pivotCaches>
    <pivotCache cacheId="0" r:id="rId6"/>
    <pivotCache cacheId="1" r:id="rId7"/>
    <pivotCache cacheId="2" r:id="rId8"/>
  </pivotCaches>
</workbook>
</file>

<file path=xl/sharedStrings.xml><?xml version="1.0" encoding="utf-8"?>
<sst xmlns="http://schemas.openxmlformats.org/spreadsheetml/2006/main" count="102" uniqueCount="35">
  <si>
    <t>Department Name</t>
  </si>
  <si>
    <t>Status</t>
  </si>
  <si>
    <t>TotalRequests</t>
  </si>
  <si>
    <t>Eduaction</t>
  </si>
  <si>
    <t>In Progress</t>
  </si>
  <si>
    <t>Pending</t>
  </si>
  <si>
    <t>Resolved</t>
  </si>
  <si>
    <t>Healthcare</t>
  </si>
  <si>
    <t>Municipal</t>
  </si>
  <si>
    <t>Transport</t>
  </si>
  <si>
    <t>CountRequests</t>
  </si>
  <si>
    <t>Service Name</t>
  </si>
  <si>
    <t>Enrollment Issues</t>
  </si>
  <si>
    <t>School Facilities</t>
  </si>
  <si>
    <t>Hospital Services</t>
  </si>
  <si>
    <t>Staff Shortage</t>
  </si>
  <si>
    <t>Garbage Collection</t>
  </si>
  <si>
    <t>Water Supply</t>
  </si>
  <si>
    <t>Road Damage</t>
  </si>
  <si>
    <t>Traffic Signals</t>
  </si>
  <si>
    <t>Education</t>
  </si>
  <si>
    <t>Row Labels</t>
  </si>
  <si>
    <t>Grand Total</t>
  </si>
  <si>
    <t>Column Labels</t>
  </si>
  <si>
    <t>Sum of TotalRequests</t>
  </si>
  <si>
    <t/>
  </si>
  <si>
    <t>Department-wise Requests Status</t>
  </si>
  <si>
    <t>Sum of CountRequests</t>
  </si>
  <si>
    <t xml:space="preserve">Department </t>
  </si>
  <si>
    <t xml:space="preserve">Pending </t>
  </si>
  <si>
    <t>In-Progress</t>
  </si>
  <si>
    <t>Muncipal</t>
  </si>
  <si>
    <t>Status Flag</t>
  </si>
  <si>
    <t>CRITICAL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</si>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</sst>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indexed="8"/>
      <name val="Times New Roman"/>
      <family val="1"/>
    </font>
    <font>
      <sz val="16"/>
      <color indexed="8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3">
    <xf numFmtId="0" fontId="0" fillId="0" borderId="0"/>
    <xf numFmtId="0" fontId="1" fillId="4" borderId="0"/>
    <xf numFmtId="0" fontId="2" fillId="4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0" fontId="6" fillId="5" borderId="3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 wrapText="1"/>
    </xf>
    <xf numFmtId="0" fontId="8" fillId="0" borderId="0" xfId="0" applyFont="1"/>
    <xf numFmtId="0" fontId="5" fillId="0" borderId="0" xfId="0" pivotButton="1" applyFont="1"/>
    <xf numFmtId="0" fontId="10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5" borderId="3" xfId="1" applyFont="1" applyFill="1" applyBorder="1" applyAlignment="1">
      <alignment horizontal="center"/>
    </xf>
    <xf numFmtId="0" fontId="7" fillId="4" borderId="4" xfId="1" applyFont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</cellXfs>
  <cellStyles count="3">
    <cellStyle name="Normal" xfId="0" builtinId="0"/>
    <cellStyle name="Normal_Sheet1" xfId="1" xr:uid="{00000000-0005-0000-0000-000001000000}"/>
    <cellStyle name="Normal_Sheet2" xfId="2" xr:uid="{00000000-0005-0000-0000-000002000000}"/>
  </cellStyles>
  <dxfs count="6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name val="Times New Roman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[IPSM Analysis EXCEL.xlsx]Requests per Department !PivotTable4</c:name>
    <c:fmtId val="0"/>
  </c:pivotSource>
  <c:chart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'Requests per Department '!$G$1:$G$2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5">
                <a:shade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'Requests per Department '!$F$3:$F$7</c:f>
              <c:strCache>
                <c:ptCount val="4"/>
                <c:pt idx="0">
                  <c:v>Eduaction</c:v>
                </c:pt>
                <c:pt idx="1">
                  <c:v>Healthcare</c:v>
                </c:pt>
                <c:pt idx="2">
                  <c:v>Municipal</c:v>
                </c:pt>
                <c:pt idx="3">
                  <c:v>Transport</c:v>
                </c:pt>
              </c:strCache>
            </c:strRef>
          </c:cat>
          <c:val>
            <c:numRef>
              <c:f>'Requests per Department '!$G$3:$G$7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4-44E7-896E-CA12F67C9107}"/>
            </c:ext>
          </c:extLst>
        </c:ser>
        <c:ser>
          <c:idx val="1"/>
          <c:order val="1"/>
          <c:tx>
            <c:strRef>
              <c:f>'Requests per Department '!$H$1:$H$2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'Requests per Department '!$F$3:$F$7</c:f>
              <c:strCache>
                <c:ptCount val="4"/>
                <c:pt idx="0">
                  <c:v>Eduaction</c:v>
                </c:pt>
                <c:pt idx="1">
                  <c:v>Healthcare</c:v>
                </c:pt>
                <c:pt idx="2">
                  <c:v>Municipal</c:v>
                </c:pt>
                <c:pt idx="3">
                  <c:v>Transport</c:v>
                </c:pt>
              </c:strCache>
            </c:strRef>
          </c:cat>
          <c:val>
            <c:numRef>
              <c:f>'Requests per Department '!$H$3:$H$7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4-44E7-896E-CA12F67C9107}"/>
            </c:ext>
          </c:extLst>
        </c:ser>
        <c:ser>
          <c:idx val="2"/>
          <c:order val="2"/>
          <c:tx>
            <c:strRef>
              <c:f>'Requests per Department '!$I$1:$I$2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chemeClr val="accent5">
                <a:tint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'Requests per Department '!$F$3:$F$7</c:f>
              <c:strCache>
                <c:ptCount val="4"/>
                <c:pt idx="0">
                  <c:v>Eduaction</c:v>
                </c:pt>
                <c:pt idx="1">
                  <c:v>Healthcare</c:v>
                </c:pt>
                <c:pt idx="2">
                  <c:v>Municipal</c:v>
                </c:pt>
                <c:pt idx="3">
                  <c:v>Transport</c:v>
                </c:pt>
              </c:strCache>
            </c:strRef>
          </c:cat>
          <c:val>
            <c:numRef>
              <c:f>'Requests per Department '!$I$3:$I$7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4-44E7-896E-CA12F67C91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443152"/>
        <c:axId val="149438448"/>
      </c:barChart>
      <c:catAx>
        <c:axId val="1494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8448"/>
        <c:crosses val="autoZero"/>
        <c:auto val="1"/>
        <c:lblAlgn val="ctr"/>
        <c:lblOffset val="100"/>
        <c:noMultiLvlLbl val="0"/>
      </c:catAx>
      <c:valAx>
        <c:axId val="1494384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4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[IPSM Analysis EXCEL.xlsx]Request per Service!PivotTable6</c:name>
    <c:fmtId val="0"/>
  </c:pivotSource>
  <c:chart>
    <c:autoTitleDeleted val="1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'Request per Service'!$F$1:$F$2</c:f>
              <c:strCache>
                <c:ptCount val="1"/>
                <c:pt idx="0">
                  <c:v>Education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'Request per Service'!$E$3:$E$11</c:f>
              <c:strCache>
                <c:ptCount val="8"/>
                <c:pt idx="0">
                  <c:v>Enrollment Issues</c:v>
                </c:pt>
                <c:pt idx="1">
                  <c:v>Garbage Collection</c:v>
                </c:pt>
                <c:pt idx="2">
                  <c:v>Hospital Services</c:v>
                </c:pt>
                <c:pt idx="3">
                  <c:v>Road Damage</c:v>
                </c:pt>
                <c:pt idx="4">
                  <c:v>School Facilities</c:v>
                </c:pt>
                <c:pt idx="5">
                  <c:v>Staff Shortage</c:v>
                </c:pt>
                <c:pt idx="6">
                  <c:v>Traffic Signals</c:v>
                </c:pt>
                <c:pt idx="7">
                  <c:v>Water Supply</c:v>
                </c:pt>
              </c:strCache>
            </c:strRef>
          </c:cat>
          <c:val>
            <c:numRef>
              <c:f>'Request per Service'!$F$3:$F$11</c:f>
              <c:numCache>
                <c:formatCode>General</c:formatCode>
                <c:ptCount val="8"/>
                <c:pt idx="0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8-4089-A5D0-6EA0871D2BBE}"/>
            </c:ext>
          </c:extLst>
        </c:ser>
        <c:ser>
          <c:idx val="1"/>
          <c:order val="1"/>
          <c:tx>
            <c:strRef>
              <c:f>'Request per Service'!$G$1:$G$2</c:f>
              <c:strCache>
                <c:ptCount val="1"/>
                <c:pt idx="0">
                  <c:v>Healthcare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'Request per Service'!$E$3:$E$11</c:f>
              <c:strCache>
                <c:ptCount val="8"/>
                <c:pt idx="0">
                  <c:v>Enrollment Issues</c:v>
                </c:pt>
                <c:pt idx="1">
                  <c:v>Garbage Collection</c:v>
                </c:pt>
                <c:pt idx="2">
                  <c:v>Hospital Services</c:v>
                </c:pt>
                <c:pt idx="3">
                  <c:v>Road Damage</c:v>
                </c:pt>
                <c:pt idx="4">
                  <c:v>School Facilities</c:v>
                </c:pt>
                <c:pt idx="5">
                  <c:v>Staff Shortage</c:v>
                </c:pt>
                <c:pt idx="6">
                  <c:v>Traffic Signals</c:v>
                </c:pt>
                <c:pt idx="7">
                  <c:v>Water Supply</c:v>
                </c:pt>
              </c:strCache>
            </c:strRef>
          </c:cat>
          <c:val>
            <c:numRef>
              <c:f>'Request per Service'!$G$3:$G$11</c:f>
              <c:numCache>
                <c:formatCode>General</c:formatCode>
                <c:ptCount val="8"/>
                <c:pt idx="2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8-4089-A5D0-6EA0871D2BBE}"/>
            </c:ext>
          </c:extLst>
        </c:ser>
        <c:ser>
          <c:idx val="2"/>
          <c:order val="2"/>
          <c:tx>
            <c:strRef>
              <c:f>'Request per Service'!$H$1:$H$2</c:f>
              <c:strCache>
                <c:ptCount val="1"/>
                <c:pt idx="0">
                  <c:v>Municipal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'Request per Service'!$E$3:$E$11</c:f>
              <c:strCache>
                <c:ptCount val="8"/>
                <c:pt idx="0">
                  <c:v>Enrollment Issues</c:v>
                </c:pt>
                <c:pt idx="1">
                  <c:v>Garbage Collection</c:v>
                </c:pt>
                <c:pt idx="2">
                  <c:v>Hospital Services</c:v>
                </c:pt>
                <c:pt idx="3">
                  <c:v>Road Damage</c:v>
                </c:pt>
                <c:pt idx="4">
                  <c:v>School Facilities</c:v>
                </c:pt>
                <c:pt idx="5">
                  <c:v>Staff Shortage</c:v>
                </c:pt>
                <c:pt idx="6">
                  <c:v>Traffic Signals</c:v>
                </c:pt>
                <c:pt idx="7">
                  <c:v>Water Supply</c:v>
                </c:pt>
              </c:strCache>
            </c:strRef>
          </c:cat>
          <c:val>
            <c:numRef>
              <c:f>'Request per Service'!$H$3:$H$11</c:f>
              <c:numCache>
                <c:formatCode>General</c:formatCode>
                <c:ptCount val="8"/>
                <c:pt idx="1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8-4089-A5D0-6EA0871D2BBE}"/>
            </c:ext>
          </c:extLst>
        </c:ser>
        <c:ser>
          <c:idx val="3"/>
          <c:order val="3"/>
          <c:tx>
            <c:strRef>
              <c:f>'Request per Service'!$I$1:$I$2</c:f>
              <c:strCache>
                <c:ptCount val="1"/>
                <c:pt idx="0">
                  <c:v>Transport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'Request per Service'!$E$3:$E$11</c:f>
              <c:strCache>
                <c:ptCount val="8"/>
                <c:pt idx="0">
                  <c:v>Enrollment Issues</c:v>
                </c:pt>
                <c:pt idx="1">
                  <c:v>Garbage Collection</c:v>
                </c:pt>
                <c:pt idx="2">
                  <c:v>Hospital Services</c:v>
                </c:pt>
                <c:pt idx="3">
                  <c:v>Road Damage</c:v>
                </c:pt>
                <c:pt idx="4">
                  <c:v>School Facilities</c:v>
                </c:pt>
                <c:pt idx="5">
                  <c:v>Staff Shortage</c:v>
                </c:pt>
                <c:pt idx="6">
                  <c:v>Traffic Signals</c:v>
                </c:pt>
                <c:pt idx="7">
                  <c:v>Water Supply</c:v>
                </c:pt>
              </c:strCache>
            </c:strRef>
          </c:cat>
          <c:val>
            <c:numRef>
              <c:f>'Request per Service'!$I$3:$I$11</c:f>
              <c:numCache>
                <c:formatCode>General</c:formatCode>
                <c:ptCount val="8"/>
                <c:pt idx="3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8-4089-A5D0-6EA0871D2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445112"/>
        <c:axId val="149441976"/>
        <c:axId val="0"/>
      </c:bar3DChart>
      <c:catAx>
        <c:axId val="14944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1976"/>
        <c:crosses val="autoZero"/>
        <c:auto val="1"/>
        <c:lblAlgn val="ctr"/>
        <c:lblOffset val="100"/>
        <c:noMultiLvlLbl val="0"/>
      </c:catAx>
      <c:valAx>
        <c:axId val="14944197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Lit>
              <c:ptCount val="3"/>
              <c:pt idx="0">
                <c:v>In Progress</c:v>
              </c:pt>
              <c:pt idx="1">
                <c:v>Pending</c:v>
              </c:pt>
              <c:pt idx="2">
                <c:v>Resolved</c:v>
              </c:pt>
            </c:strLit>
          </c:cat>
          <c:val>
            <c:numLit>
              <c:formatCode>General</c:formatCode>
              <c:ptCount val="3"/>
              <c:pt idx="0">
                <c:v>9</c:v>
              </c:pt>
              <c:pt idx="1">
                <c:v>7</c:v>
              </c:pt>
              <c:pt idx="2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F098-4FEE-87A8-36827A34A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9445504"/>
        <c:axId val="149438056"/>
        <c:axId val="0"/>
      </c:bar3DChart>
      <c:catAx>
        <c:axId val="14944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8056"/>
        <c:crosses val="autoZero"/>
        <c:auto val="1"/>
        <c:lblAlgn val="ctr"/>
        <c:lblOffset val="100"/>
        <c:noMultiLvlLbl val="0"/>
      </c:catAx>
      <c:valAx>
        <c:axId val="14943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15</xdr:row>
      <xdr:rowOff>127567</xdr:rowOff>
    </xdr:from>
    <xdr:to>
      <xdr:col>6</xdr:col>
      <xdr:colOff>1173614</xdr:colOff>
      <xdr:row>36</xdr:row>
      <xdr:rowOff>59532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FCA9F-F101-16E4-8154-1EC4856BC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5</xdr:row>
          <xdr:rowOff>19050</xdr:rowOff>
        </xdr:from>
        <xdr:to>
          <xdr:col>5</xdr:col>
          <xdr:colOff>47625</xdr:colOff>
          <xdr:row>6</xdr:row>
          <xdr:rowOff>161925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n-PK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Check Status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13917</xdr:colOff>
      <xdr:row>13</xdr:row>
      <xdr:rowOff>129884</xdr:rowOff>
    </xdr:from>
    <xdr:to>
      <xdr:col>6</xdr:col>
      <xdr:colOff>1104033</xdr:colOff>
      <xdr:row>35</xdr:row>
      <xdr:rowOff>161583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13662-CFF5-1186-F0E8-A87E5F75B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46691</xdr:colOff>
      <xdr:row>8</xdr:row>
      <xdr:rowOff>9337</xdr:rowOff>
    </xdr:from>
    <xdr:to>
      <xdr:col>4</xdr:col>
      <xdr:colOff>1596837</xdr:colOff>
      <xdr:row>31</xdr:row>
      <xdr:rowOff>56028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6D574-756D-8011-153E-EE426372D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Waseh" refreshedDate="46026.719506828704" createdVersion="8" refreshedVersion="8" minRefreshableVersion="3" recordCount="13" xr:uid="{00000000-000A-0000-FFFF-FFFF00000000}">
  <cacheSource type="worksheet">
    <worksheetSource ref="A1:C14" sheet="Requests per Department "/>
  </cacheSource>
  <cacheFields count="3">
    <cacheField name="Department Name" numFmtId="0">
      <sharedItems count="4">
        <s v="Eduaction"/>
        <s v="Healthcare"/>
        <s v="Municipal"/>
        <s v="Transport"/>
      </sharedItems>
    </cacheField>
    <cacheField name="Status" numFmtId="0">
      <sharedItems count="3">
        <s v="In Progress"/>
        <s v="Pending"/>
        <s v="Resolved"/>
      </sharedItems>
    </cacheField>
    <cacheField name="TotalRequests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Waseh" refreshedDate="46026.721465046299" createdVersion="8" refreshedVersion="8" minRefreshableVersion="3" recordCount="4" xr:uid="{00000000-000A-0000-FFFF-FFFF01000000}">
  <cacheSource type="worksheet">
    <worksheetSource ref="A1:B5" sheet="Resolved vs Pending"/>
  </cacheSource>
  <cacheFields count="2">
    <cacheField name="Status" numFmtId="0">
      <sharedItems count="3">
        <s v="In Progress"/>
        <s v="Pending"/>
        <s v="Resolved"/>
      </sharedItems>
    </cacheField>
    <cacheField name="CountRequests" numFmtId="0">
      <sharedItems containsSemiMixedTypes="0" containsString="0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Waseh" refreshedDate="46026.72534016204" createdVersion="8" refreshedVersion="8" minRefreshableVersion="3" recordCount="8" xr:uid="{00000000-000A-0000-FFFF-FFFF02000000}">
  <cacheSource type="worksheet">
    <worksheetSource ref="A1:C9" sheet="Request per Service"/>
  </cacheSource>
  <cacheFields count="3">
    <cacheField name="Service Name" numFmtId="0">
      <sharedItems count="8">
        <s v="Enrollment Issues"/>
        <s v="School Facilities"/>
        <s v="Hospital Services"/>
        <s v="Staff Shortage"/>
        <s v="Garbage Collection"/>
        <s v="Water Supply"/>
        <s v="Road Damage"/>
        <s v="Traffic Signals"/>
      </sharedItems>
    </cacheField>
    <cacheField name="Department Name" numFmtId="0">
      <sharedItems count="4">
        <s v="Education"/>
        <s v="Healthcare"/>
        <s v="Municipal"/>
        <s v="Transport"/>
      </sharedItems>
    </cacheField>
    <cacheField name="TotalReques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1"/>
  </r>
  <r>
    <x v="0"/>
    <x v="1"/>
    <n v="4"/>
  </r>
  <r>
    <x v="0"/>
    <x v="2"/>
    <n v="1"/>
  </r>
  <r>
    <x v="1"/>
    <x v="0"/>
    <n v="1"/>
  </r>
  <r>
    <x v="1"/>
    <x v="0"/>
    <n v="3"/>
  </r>
  <r>
    <x v="1"/>
    <x v="1"/>
    <n v="1"/>
  </r>
  <r>
    <x v="1"/>
    <x v="2"/>
    <n v="7"/>
  </r>
  <r>
    <x v="2"/>
    <x v="0"/>
    <n v="1"/>
  </r>
  <r>
    <x v="2"/>
    <x v="1"/>
    <n v="1"/>
  </r>
  <r>
    <x v="2"/>
    <x v="2"/>
    <n v="2"/>
  </r>
  <r>
    <x v="3"/>
    <x v="0"/>
    <n v="3"/>
  </r>
  <r>
    <x v="3"/>
    <x v="1"/>
    <n v="1"/>
  </r>
  <r>
    <x v="3"/>
    <x v="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0"/>
    <n v="8"/>
  </r>
  <r>
    <x v="1"/>
    <n v="7"/>
  </r>
  <r>
    <x v="2"/>
    <n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3"/>
  </r>
  <r>
    <x v="1"/>
    <x v="0"/>
    <n v="3"/>
  </r>
  <r>
    <x v="2"/>
    <x v="1"/>
    <n v="6"/>
  </r>
  <r>
    <x v="3"/>
    <x v="1"/>
    <n v="6"/>
  </r>
  <r>
    <x v="4"/>
    <x v="2"/>
    <n v="1"/>
  </r>
  <r>
    <x v="5"/>
    <x v="2"/>
    <n v="3"/>
  </r>
  <r>
    <x v="6"/>
    <x v="3"/>
    <n v="3"/>
  </r>
  <r>
    <x v="7"/>
    <x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colHeaderCaption="">
  <location ref="F1:J7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Department-wise Requests Status" fld="2" baseField="0" baseItem="0"/>
  </dataFields>
  <formats count="18"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Col="1" outline="0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:J11" firstHeaderRow="1" firstDataRow="2" firstDataCol="1"/>
  <pivotFields count="3">
    <pivotField axis="axisRow" showAll="0">
      <items count="9">
        <item x="0"/>
        <item x="4"/>
        <item x="2"/>
        <item x="6"/>
        <item x="1"/>
        <item x="3"/>
        <item x="7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Requests" fld="2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DA4DD-412C-4610-8442-7C4E86DCB0D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tatus">
  <location ref="D1:E5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untRequests" fld="1" baseField="0" baseItem="0"/>
  </dataFields>
  <formats count="1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B2232-96C3-4225-8D44-131E9BA7DA31}" name="Table1" displayName="Table1" ref="A1:C14" totalsRowShown="0" headerRowDxfId="50" dataDxfId="48" headerRowBorderDxfId="49" tableBorderDxfId="47" totalsRowBorderDxfId="46">
  <autoFilter ref="A1:C14" xr:uid="{6B8B2232-96C3-4225-8D44-131E9BA7DA31}"/>
  <tableColumns count="3">
    <tableColumn id="1" xr3:uid="{84A8DE44-6360-40BE-A1C2-CF85F070E7D6}" name="Department Name" dataDxfId="45"/>
    <tableColumn id="2" xr3:uid="{4F7FD618-12AD-4288-969D-53AF540D12BD}" name="Status" dataDxfId="44"/>
    <tableColumn id="3" xr3:uid="{9786918A-FC84-4269-958E-F803A63870FF}" name="TotalRequests" dataDxfId="4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5E8930-82C2-43F6-A45A-86546AEC1B49}" name="Table2" displayName="Table2" ref="A1:E5" totalsRowShown="0" headerRowDxfId="42" dataDxfId="41">
  <autoFilter ref="A1:E5" xr:uid="{F15E8930-82C2-43F6-A45A-86546AEC1B49}"/>
  <tableColumns count="5">
    <tableColumn id="1" xr3:uid="{92D82133-B080-4B00-9463-64EE238A8508}" name="Department " dataDxfId="40"/>
    <tableColumn id="2" xr3:uid="{5EC48BBB-7021-4B77-B95F-74C0FA7E07EA}" name="Pending " dataDxfId="39"/>
    <tableColumn id="3" xr3:uid="{00ACC88E-AFF8-4F95-9571-1D75D4E0CA7E}" name="In-Progress" dataDxfId="38"/>
    <tableColumn id="4" xr3:uid="{2CC2BA9F-55D6-44C7-9D2E-B6971B6D4D15}" name="Resolved" dataDxfId="37"/>
    <tableColumn id="5" xr3:uid="{3612E20E-B93F-4686-A861-4C7C06CFAEE5}" name="Status Flag" dataDxfId="3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4"/>
  <sheetViews>
    <sheetView zoomScale="56" zoomScaleNormal="100" workbookViewId="0">
      <selection activeCell="F6" sqref="F6"/>
    </sheetView>
  </sheetViews>
  <sheetFormatPr defaultRowHeight="14.25" x14ac:dyDescent="0.45"/>
  <cols>
    <col min="1" max="1" width="34.6640625" customWidth="1"/>
    <col min="2" max="2" width="21.3984375" customWidth="1"/>
    <col min="3" max="3" width="31.06640625" customWidth="1"/>
    <col min="4" max="4" width="3.265625" customWidth="1"/>
    <col min="5" max="5" width="9.06640625" hidden="1" customWidth="1"/>
    <col min="6" max="6" width="33.1328125" customWidth="1"/>
    <col min="7" max="7" width="19" customWidth="1"/>
    <col min="8" max="8" width="14.59765625" customWidth="1"/>
    <col min="9" max="9" width="17" customWidth="1"/>
    <col min="10" max="10" width="20.1328125" customWidth="1"/>
    <col min="11" max="11" width="10.73046875" bestFit="1" customWidth="1"/>
  </cols>
  <sheetData>
    <row r="1" spans="1:10" ht="20.25" x14ac:dyDescent="0.55000000000000004">
      <c r="A1" s="14" t="s">
        <v>0</v>
      </c>
      <c r="B1" s="14" t="s">
        <v>1</v>
      </c>
      <c r="C1" s="14" t="s">
        <v>2</v>
      </c>
      <c r="F1" s="7" t="s">
        <v>26</v>
      </c>
      <c r="G1" s="7" t="s">
        <v>25</v>
      </c>
      <c r="H1" s="11"/>
      <c r="I1" s="11"/>
      <c r="J1" s="11"/>
    </row>
    <row r="2" spans="1:10" ht="20.25" x14ac:dyDescent="0.55000000000000004">
      <c r="A2" s="8" t="s">
        <v>3</v>
      </c>
      <c r="B2" s="8" t="s">
        <v>4</v>
      </c>
      <c r="C2" s="9">
        <v>1</v>
      </c>
      <c r="E2" s="11"/>
      <c r="F2" s="2" t="s">
        <v>21</v>
      </c>
      <c r="G2" s="3" t="s">
        <v>4</v>
      </c>
      <c r="H2" s="3" t="s">
        <v>5</v>
      </c>
      <c r="I2" s="3" t="s">
        <v>6</v>
      </c>
      <c r="J2" s="3" t="s">
        <v>22</v>
      </c>
    </row>
    <row r="3" spans="1:10" ht="20.25" x14ac:dyDescent="0.55000000000000004">
      <c r="A3" s="8" t="s">
        <v>3</v>
      </c>
      <c r="B3" s="8" t="s">
        <v>5</v>
      </c>
      <c r="C3" s="9">
        <v>4</v>
      </c>
      <c r="E3" s="11"/>
      <c r="F3" s="3" t="s">
        <v>3</v>
      </c>
      <c r="G3" s="3">
        <v>1</v>
      </c>
      <c r="H3" s="3">
        <v>4</v>
      </c>
      <c r="I3" s="3">
        <v>1</v>
      </c>
      <c r="J3" s="3">
        <v>6</v>
      </c>
    </row>
    <row r="4" spans="1:10" ht="20.25" x14ac:dyDescent="0.55000000000000004">
      <c r="A4" s="8" t="s">
        <v>3</v>
      </c>
      <c r="B4" s="8" t="s">
        <v>6</v>
      </c>
      <c r="C4" s="9">
        <v>1</v>
      </c>
      <c r="E4" s="11"/>
      <c r="F4" s="3" t="s">
        <v>7</v>
      </c>
      <c r="G4" s="3">
        <v>4</v>
      </c>
      <c r="H4" s="3">
        <v>1</v>
      </c>
      <c r="I4" s="3">
        <v>7</v>
      </c>
      <c r="J4" s="3">
        <v>12</v>
      </c>
    </row>
    <row r="5" spans="1:10" ht="20.25" x14ac:dyDescent="0.55000000000000004">
      <c r="A5" s="8" t="s">
        <v>7</v>
      </c>
      <c r="B5" s="8" t="s">
        <v>4</v>
      </c>
      <c r="C5" s="9">
        <v>1</v>
      </c>
      <c r="E5" s="11"/>
      <c r="F5" s="3" t="s">
        <v>8</v>
      </c>
      <c r="G5" s="3">
        <v>1</v>
      </c>
      <c r="H5" s="3">
        <v>1</v>
      </c>
      <c r="I5" s="3">
        <v>2</v>
      </c>
      <c r="J5" s="3">
        <v>4</v>
      </c>
    </row>
    <row r="6" spans="1:10" ht="20.25" x14ac:dyDescent="0.55000000000000004">
      <c r="A6" s="8" t="s">
        <v>7</v>
      </c>
      <c r="B6" s="8" t="s">
        <v>4</v>
      </c>
      <c r="C6" s="9">
        <v>3</v>
      </c>
      <c r="E6" s="11"/>
      <c r="F6" s="3" t="s">
        <v>9</v>
      </c>
      <c r="G6" s="3">
        <v>3</v>
      </c>
      <c r="H6" s="3">
        <v>1</v>
      </c>
      <c r="I6" s="3">
        <v>1</v>
      </c>
      <c r="J6" s="3">
        <v>5</v>
      </c>
    </row>
    <row r="7" spans="1:10" ht="20.25" x14ac:dyDescent="0.55000000000000004">
      <c r="A7" s="8" t="s">
        <v>7</v>
      </c>
      <c r="B7" s="8" t="s">
        <v>5</v>
      </c>
      <c r="C7" s="9">
        <v>1</v>
      </c>
      <c r="E7" s="11"/>
      <c r="F7" s="3" t="s">
        <v>22</v>
      </c>
      <c r="G7" s="3">
        <v>9</v>
      </c>
      <c r="H7" s="3">
        <v>7</v>
      </c>
      <c r="I7" s="3">
        <v>11</v>
      </c>
      <c r="J7" s="3">
        <v>27</v>
      </c>
    </row>
    <row r="8" spans="1:10" ht="20.25" x14ac:dyDescent="0.55000000000000004">
      <c r="A8" s="8" t="s">
        <v>7</v>
      </c>
      <c r="B8" s="8" t="s">
        <v>6</v>
      </c>
      <c r="C8" s="9">
        <v>7</v>
      </c>
      <c r="E8" s="11"/>
    </row>
    <row r="9" spans="1:10" ht="20.25" x14ac:dyDescent="0.45">
      <c r="A9" s="8" t="s">
        <v>8</v>
      </c>
      <c r="B9" s="8" t="s">
        <v>4</v>
      </c>
      <c r="C9" s="9">
        <v>1</v>
      </c>
      <c r="F9" s="1"/>
    </row>
    <row r="10" spans="1:10" ht="20.25" x14ac:dyDescent="0.45">
      <c r="A10" s="8" t="s">
        <v>8</v>
      </c>
      <c r="B10" s="8" t="s">
        <v>5</v>
      </c>
      <c r="C10" s="9">
        <v>1</v>
      </c>
    </row>
    <row r="11" spans="1:10" ht="20.25" x14ac:dyDescent="0.45">
      <c r="A11" s="8" t="s">
        <v>8</v>
      </c>
      <c r="B11" s="8" t="s">
        <v>6</v>
      </c>
      <c r="C11" s="9">
        <v>2</v>
      </c>
    </row>
    <row r="12" spans="1:10" ht="20.25" x14ac:dyDescent="0.45">
      <c r="A12" s="8" t="s">
        <v>9</v>
      </c>
      <c r="B12" s="8" t="s">
        <v>4</v>
      </c>
      <c r="C12" s="9">
        <v>3</v>
      </c>
    </row>
    <row r="13" spans="1:10" ht="20.25" x14ac:dyDescent="0.45">
      <c r="A13" s="8" t="s">
        <v>9</v>
      </c>
      <c r="B13" s="8" t="s">
        <v>5</v>
      </c>
      <c r="C13" s="9">
        <v>1</v>
      </c>
    </row>
    <row r="14" spans="1:10" ht="20.25" x14ac:dyDescent="0.45">
      <c r="A14" s="15" t="s">
        <v>9</v>
      </c>
      <c r="B14" s="15" t="s">
        <v>6</v>
      </c>
      <c r="C14" s="16">
        <v>1</v>
      </c>
    </row>
  </sheetData>
  <conditionalFormatting sqref="B1:B1048576">
    <cfRule type="cellIs" dxfId="5" priority="1" operator="equal">
      <formula>"In Progress"</formula>
    </cfRule>
    <cfRule type="cellIs" dxfId="4" priority="2" operator="equal">
      <formula>"Resolved"</formula>
    </cfRule>
    <cfRule type="cellIs" dxfId="3" priority="3" operator="equal">
      <formula>"Pending"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5"/>
  <sheetViews>
    <sheetView zoomScale="115" workbookViewId="0">
      <selection activeCell="F16" sqref="F16"/>
    </sheetView>
  </sheetViews>
  <sheetFormatPr defaultColWidth="9.1328125" defaultRowHeight="17.649999999999999" x14ac:dyDescent="0.5"/>
  <cols>
    <col min="1" max="1" width="16.59765625" style="10" customWidth="1"/>
    <col min="2" max="2" width="16" style="10" customWidth="1"/>
    <col min="3" max="3" width="18.59765625" style="10" customWidth="1"/>
    <col min="4" max="4" width="15.3984375" style="10" customWidth="1"/>
    <col min="5" max="5" width="19.33203125" style="10" customWidth="1"/>
    <col min="6" max="16384" width="9.1328125" style="10"/>
  </cols>
  <sheetData>
    <row r="1" spans="1:5" x14ac:dyDescent="0.5">
      <c r="A1" s="17" t="s">
        <v>28</v>
      </c>
      <c r="B1" s="17" t="s">
        <v>29</v>
      </c>
      <c r="C1" s="17" t="s">
        <v>30</v>
      </c>
      <c r="D1" s="17" t="s">
        <v>6</v>
      </c>
      <c r="E1" s="17" t="s">
        <v>32</v>
      </c>
    </row>
    <row r="2" spans="1:5" x14ac:dyDescent="0.5">
      <c r="A2" s="18" t="s">
        <v>20</v>
      </c>
      <c r="B2" s="18">
        <v>2</v>
      </c>
      <c r="C2" s="18">
        <v>1</v>
      </c>
      <c r="D2" s="18">
        <v>1</v>
      </c>
      <c r="E2" s="19" t="s">
        <v>33</v>
      </c>
    </row>
    <row r="3" spans="1:5" x14ac:dyDescent="0.5">
      <c r="A3" s="18" t="s">
        <v>7</v>
      </c>
      <c r="B3" s="18">
        <v>1</v>
      </c>
      <c r="C3" s="18">
        <v>4</v>
      </c>
      <c r="D3" s="18">
        <v>7</v>
      </c>
      <c r="E3" s="20" t="s">
        <v>34</v>
      </c>
    </row>
    <row r="4" spans="1:5" x14ac:dyDescent="0.5">
      <c r="A4" s="18" t="s">
        <v>31</v>
      </c>
      <c r="B4" s="18">
        <v>1</v>
      </c>
      <c r="C4" s="18">
        <v>3</v>
      </c>
      <c r="D4" s="18">
        <v>2</v>
      </c>
      <c r="E4" s="20" t="s">
        <v>34</v>
      </c>
    </row>
    <row r="5" spans="1:5" x14ac:dyDescent="0.5">
      <c r="A5" s="18" t="s">
        <v>9</v>
      </c>
      <c r="B5" s="18">
        <v>1</v>
      </c>
      <c r="C5" s="18">
        <v>6</v>
      </c>
      <c r="D5" s="18">
        <v>1</v>
      </c>
      <c r="E5" s="20" t="s">
        <v>34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4" name="Button 3">
              <controlPr defaultSize="0" print="0" autoFill="0" autoPict="0" macro="[0]!IdentifyCriticalDepartments">
                <anchor moveWithCells="1" sizeWithCells="1">
                  <from>
                    <xdr:col>4</xdr:col>
                    <xdr:colOff>9525</xdr:colOff>
                    <xdr:row>5</xdr:row>
                    <xdr:rowOff>19050</xdr:rowOff>
                  </from>
                  <to>
                    <xdr:col>5</xdr:col>
                    <xdr:colOff>47625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2"/>
  <sheetViews>
    <sheetView tabSelected="1" topLeftCell="A4" zoomScale="57" zoomScaleNormal="55" workbookViewId="0">
      <selection activeCell="H23" sqref="H23"/>
    </sheetView>
  </sheetViews>
  <sheetFormatPr defaultRowHeight="21" x14ac:dyDescent="0.65"/>
  <cols>
    <col min="1" max="1" width="20.86328125" style="6" customWidth="1"/>
    <col min="2" max="2" width="29.3984375" style="6" customWidth="1"/>
    <col min="3" max="3" width="22.86328125" style="6" customWidth="1"/>
    <col min="4" max="4" width="3.796875" customWidth="1"/>
    <col min="5" max="5" width="37" customWidth="1"/>
    <col min="6" max="6" width="22.86328125" bestFit="1" customWidth="1"/>
    <col min="7" max="7" width="17.86328125" customWidth="1"/>
    <col min="8" max="8" width="19" customWidth="1"/>
    <col min="9" max="9" width="18" customWidth="1"/>
    <col min="10" max="10" width="22.1328125" customWidth="1"/>
    <col min="11" max="11" width="27.3984375" bestFit="1" customWidth="1"/>
    <col min="12" max="12" width="18.1328125" bestFit="1" customWidth="1"/>
    <col min="13" max="13" width="23.3984375" bestFit="1" customWidth="1"/>
    <col min="14" max="14" width="21.1328125" bestFit="1" customWidth="1"/>
    <col min="15" max="15" width="26.59765625" bestFit="1" customWidth="1"/>
    <col min="16" max="16" width="18.86328125" bestFit="1" customWidth="1"/>
    <col min="17" max="17" width="24.1328125" bestFit="1" customWidth="1"/>
    <col min="18" max="18" width="18.59765625" bestFit="1" customWidth="1"/>
    <col min="19" max="19" width="24" bestFit="1" customWidth="1"/>
    <col min="20" max="20" width="17.265625" bestFit="1" customWidth="1"/>
    <col min="21" max="21" width="22.59765625" bestFit="1" customWidth="1"/>
    <col min="22" max="22" width="14.59765625" bestFit="1" customWidth="1"/>
  </cols>
  <sheetData>
    <row r="1" spans="1:10" ht="20.25" x14ac:dyDescent="0.55000000000000004">
      <c r="A1" s="4" t="s">
        <v>11</v>
      </c>
      <c r="B1" s="4" t="s">
        <v>0</v>
      </c>
      <c r="C1" s="4" t="s">
        <v>2</v>
      </c>
      <c r="E1" s="2" t="s">
        <v>24</v>
      </c>
      <c r="F1" s="2" t="s">
        <v>23</v>
      </c>
      <c r="G1" s="3"/>
      <c r="H1" s="3"/>
      <c r="I1" s="3"/>
      <c r="J1" s="3"/>
    </row>
    <row r="2" spans="1:10" ht="19.149999999999999" customHeight="1" x14ac:dyDescent="0.55000000000000004">
      <c r="A2" s="5" t="s">
        <v>12</v>
      </c>
      <c r="B2" s="5" t="s">
        <v>20</v>
      </c>
      <c r="C2" s="5">
        <v>3</v>
      </c>
      <c r="E2" s="2" t="s">
        <v>21</v>
      </c>
      <c r="F2" s="3" t="s">
        <v>20</v>
      </c>
      <c r="G2" s="3" t="s">
        <v>7</v>
      </c>
      <c r="H2" s="3" t="s">
        <v>8</v>
      </c>
      <c r="I2" s="3" t="s">
        <v>9</v>
      </c>
      <c r="J2" s="3" t="s">
        <v>22</v>
      </c>
    </row>
    <row r="3" spans="1:10" ht="22.5" customHeight="1" x14ac:dyDescent="0.55000000000000004">
      <c r="A3" s="5" t="s">
        <v>13</v>
      </c>
      <c r="B3" s="5" t="s">
        <v>20</v>
      </c>
      <c r="C3" s="5">
        <v>3</v>
      </c>
      <c r="E3" s="3" t="s">
        <v>12</v>
      </c>
      <c r="F3" s="3">
        <v>3</v>
      </c>
      <c r="G3" s="3"/>
      <c r="H3" s="3"/>
      <c r="I3" s="3"/>
      <c r="J3" s="3">
        <v>3</v>
      </c>
    </row>
    <row r="4" spans="1:10" ht="18.399999999999999" customHeight="1" x14ac:dyDescent="0.55000000000000004">
      <c r="A4" s="5" t="s">
        <v>14</v>
      </c>
      <c r="B4" s="5" t="s">
        <v>7</v>
      </c>
      <c r="C4" s="5">
        <v>6</v>
      </c>
      <c r="E4" s="3" t="s">
        <v>16</v>
      </c>
      <c r="F4" s="3"/>
      <c r="G4" s="3"/>
      <c r="H4" s="3">
        <v>1</v>
      </c>
      <c r="I4" s="3"/>
      <c r="J4" s="3">
        <v>1</v>
      </c>
    </row>
    <row r="5" spans="1:10" ht="20.25" customHeight="1" x14ac:dyDescent="0.55000000000000004">
      <c r="A5" s="5" t="s">
        <v>15</v>
      </c>
      <c r="B5" s="5" t="s">
        <v>7</v>
      </c>
      <c r="C5" s="5">
        <v>6</v>
      </c>
      <c r="E5" s="3" t="s">
        <v>14</v>
      </c>
      <c r="F5" s="3"/>
      <c r="G5" s="3">
        <v>6</v>
      </c>
      <c r="H5" s="3"/>
      <c r="I5" s="3"/>
      <c r="J5" s="3">
        <v>6</v>
      </c>
    </row>
    <row r="6" spans="1:10" ht="23.25" customHeight="1" x14ac:dyDescent="0.55000000000000004">
      <c r="A6" s="5" t="s">
        <v>16</v>
      </c>
      <c r="B6" s="5" t="s">
        <v>8</v>
      </c>
      <c r="C6" s="5">
        <v>1</v>
      </c>
      <c r="E6" s="3" t="s">
        <v>18</v>
      </c>
      <c r="F6" s="3"/>
      <c r="G6" s="3"/>
      <c r="H6" s="3"/>
      <c r="I6" s="3">
        <v>3</v>
      </c>
      <c r="J6" s="3">
        <v>3</v>
      </c>
    </row>
    <row r="7" spans="1:10" ht="21" customHeight="1" x14ac:dyDescent="0.55000000000000004">
      <c r="A7" s="5" t="s">
        <v>17</v>
      </c>
      <c r="B7" s="5" t="s">
        <v>8</v>
      </c>
      <c r="C7" s="5">
        <v>3</v>
      </c>
      <c r="E7" s="3" t="s">
        <v>13</v>
      </c>
      <c r="F7" s="3">
        <v>3</v>
      </c>
      <c r="G7" s="3"/>
      <c r="H7" s="3"/>
      <c r="I7" s="3"/>
      <c r="J7" s="3">
        <v>3</v>
      </c>
    </row>
    <row r="8" spans="1:10" ht="21.75" customHeight="1" x14ac:dyDescent="0.55000000000000004">
      <c r="A8" s="5" t="s">
        <v>18</v>
      </c>
      <c r="B8" s="5" t="s">
        <v>9</v>
      </c>
      <c r="C8" s="5">
        <v>3</v>
      </c>
      <c r="E8" s="3" t="s">
        <v>15</v>
      </c>
      <c r="F8" s="3"/>
      <c r="G8" s="3">
        <v>6</v>
      </c>
      <c r="H8" s="3"/>
      <c r="I8" s="3"/>
      <c r="J8" s="3">
        <v>6</v>
      </c>
    </row>
    <row r="9" spans="1:10" ht="19.5" customHeight="1" x14ac:dyDescent="0.55000000000000004">
      <c r="A9" s="5" t="s">
        <v>19</v>
      </c>
      <c r="B9" s="5" t="s">
        <v>9</v>
      </c>
      <c r="C9" s="5">
        <v>2</v>
      </c>
      <c r="E9" s="3" t="s">
        <v>19</v>
      </c>
      <c r="F9" s="3"/>
      <c r="G9" s="3"/>
      <c r="H9" s="3"/>
      <c r="I9" s="3">
        <v>2</v>
      </c>
      <c r="J9" s="3">
        <v>2</v>
      </c>
    </row>
    <row r="10" spans="1:10" x14ac:dyDescent="0.65">
      <c r="E10" s="3" t="s">
        <v>17</v>
      </c>
      <c r="F10" s="3"/>
      <c r="G10" s="3"/>
      <c r="H10" s="3">
        <v>3</v>
      </c>
      <c r="I10" s="3"/>
      <c r="J10" s="3">
        <v>3</v>
      </c>
    </row>
    <row r="11" spans="1:10" x14ac:dyDescent="0.65">
      <c r="E11" s="3" t="s">
        <v>22</v>
      </c>
      <c r="F11" s="3">
        <v>6</v>
      </c>
      <c r="G11" s="3">
        <v>12</v>
      </c>
      <c r="H11" s="3">
        <v>4</v>
      </c>
      <c r="I11" s="3">
        <v>5</v>
      </c>
      <c r="J11" s="3">
        <v>27</v>
      </c>
    </row>
    <row r="12" spans="1:10" x14ac:dyDescent="0.65">
      <c r="E12" s="1"/>
      <c r="F12" s="1"/>
      <c r="G12" s="1"/>
      <c r="H12" s="1"/>
      <c r="I12" s="1"/>
      <c r="J12" s="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6"/>
  <sheetViews>
    <sheetView zoomScale="62" zoomScaleNormal="100" workbookViewId="0">
      <selection activeCell="A29" sqref="A29"/>
    </sheetView>
  </sheetViews>
  <sheetFormatPr defaultRowHeight="14.25" x14ac:dyDescent="0.45"/>
  <cols>
    <col min="1" max="1" width="14.1328125" customWidth="1"/>
    <col min="2" max="2" width="22.3984375" customWidth="1"/>
    <col min="4" max="4" width="23.86328125" customWidth="1"/>
    <col min="5" max="5" width="38.3984375" customWidth="1"/>
  </cols>
  <sheetData>
    <row r="1" spans="1:5" ht="20.25" x14ac:dyDescent="0.55000000000000004">
      <c r="A1" s="12" t="s">
        <v>1</v>
      </c>
      <c r="B1" s="12" t="s">
        <v>10</v>
      </c>
      <c r="C1" s="11"/>
      <c r="D1" s="2" t="s">
        <v>1</v>
      </c>
      <c r="E1" s="3" t="s">
        <v>27</v>
      </c>
    </row>
    <row r="2" spans="1:5" ht="19.149999999999999" customHeight="1" x14ac:dyDescent="0.55000000000000004">
      <c r="A2" s="13" t="s">
        <v>4</v>
      </c>
      <c r="B2" s="13">
        <v>1</v>
      </c>
      <c r="C2" s="11"/>
      <c r="D2" s="3" t="s">
        <v>4</v>
      </c>
      <c r="E2" s="3">
        <v>9</v>
      </c>
    </row>
    <row r="3" spans="1:5" ht="18" customHeight="1" x14ac:dyDescent="0.55000000000000004">
      <c r="A3" s="13" t="s">
        <v>4</v>
      </c>
      <c r="B3" s="13">
        <v>8</v>
      </c>
      <c r="C3" s="11"/>
      <c r="D3" s="3" t="s">
        <v>5</v>
      </c>
      <c r="E3" s="3">
        <v>7</v>
      </c>
    </row>
    <row r="4" spans="1:5" ht="20.25" x14ac:dyDescent="0.55000000000000004">
      <c r="A4" s="13" t="s">
        <v>5</v>
      </c>
      <c r="B4" s="13">
        <v>7</v>
      </c>
      <c r="C4" s="11"/>
      <c r="D4" s="3" t="s">
        <v>6</v>
      </c>
      <c r="E4" s="3">
        <v>11</v>
      </c>
    </row>
    <row r="5" spans="1:5" ht="20.25" x14ac:dyDescent="0.55000000000000004">
      <c r="A5" s="13" t="s">
        <v>6</v>
      </c>
      <c r="B5" s="13">
        <v>11</v>
      </c>
      <c r="C5" s="11"/>
      <c r="D5" s="3" t="s">
        <v>22</v>
      </c>
      <c r="E5" s="3">
        <v>27</v>
      </c>
    </row>
    <row r="6" spans="1:5" ht="20.25" x14ac:dyDescent="0.55000000000000004">
      <c r="A6" s="1"/>
      <c r="B6" s="1"/>
      <c r="C6" s="11"/>
    </row>
  </sheetData>
  <conditionalFormatting sqref="A1:A1048576">
    <cfRule type="cellIs" dxfId="2" priority="1" operator="equal">
      <formula>"Resolved"</formula>
    </cfRule>
    <cfRule type="cellIs" dxfId="1" priority="2" operator="equal">
      <formula>"In Progress"</formula>
    </cfRule>
    <cfRule type="cellIs" dxfId="0" priority="3" operator="equal">
      <formula>"Pending"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Requests per Department </vt:lpstr>
      <vt:lpstr>Departments_status</vt:lpstr>
      <vt:lpstr>Request per Service</vt:lpstr>
      <vt:lpstr>Resolved vs Pending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Zarish Shahzad</dc:creator>
  <cp:lastModifiedBy>Meeram Shahzad</cp:lastModifiedBy>
  <dcterms:created xsi:type="dcterms:W3CDTF">2026-01-03T14:53:56Z</dcterms:created>
  <dcterms:modified xsi:type="dcterms:W3CDTF">2026-01-04T17:21:04Z</dcterms:modified>
</cp:coreProperties>
</file>